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uilherme/Library/Mobile Documents/com~apple~CloudDocs/Faculdade/Performance de SC/Atividade Prática/"/>
    </mc:Choice>
  </mc:AlternateContent>
  <xr:revisionPtr revIDLastSave="0" documentId="13_ncr:1_{0C423ADF-B65E-5844-9234-DA1C1AEE3CEF}" xr6:coauthVersionLast="47" xr6:coauthVersionMax="47" xr10:uidLastSave="{00000000-0000-0000-0000-000000000000}"/>
  <bookViews>
    <workbookView xWindow="0" yWindow="680" windowWidth="30240" windowHeight="17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C24" i="1"/>
  <c r="C25" i="1"/>
  <c r="C26" i="1"/>
  <c r="C27" i="1"/>
  <c r="C28" i="1"/>
  <c r="C22" i="1"/>
  <c r="B23" i="1"/>
  <c r="B24" i="1"/>
  <c r="B25" i="1"/>
  <c r="B26" i="1"/>
  <c r="B27" i="1"/>
  <c r="B28" i="1"/>
  <c r="B22" i="1"/>
  <c r="D25" i="1" l="1"/>
  <c r="D24" i="1"/>
  <c r="D23" i="1"/>
  <c r="D28" i="1"/>
  <c r="D22" i="1"/>
  <c r="D27" i="1"/>
  <c r="D26" i="1"/>
</calcChain>
</file>

<file path=xl/sharedStrings.xml><?xml version="1.0" encoding="utf-8"?>
<sst xmlns="http://schemas.openxmlformats.org/spreadsheetml/2006/main" count="11" uniqueCount="8">
  <si>
    <t>Compilação 1</t>
  </si>
  <si>
    <t>Compilação 3</t>
  </si>
  <si>
    <t>1 : 1</t>
  </si>
  <si>
    <t>N : M</t>
  </si>
  <si>
    <t>Média 1 : 1</t>
  </si>
  <si>
    <t>Média N : M</t>
  </si>
  <si>
    <t>Diferença</t>
  </si>
  <si>
    <t>Compilação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</si>
</sst>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.##\ &quot; ms&quot;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2" fillId="4" borderId="4" xfId="2" applyFont="1" applyBorder="1" applyAlignment="1">
      <alignment horizontal="center" vertical="center"/>
    </xf>
    <xf numFmtId="0" fontId="2" fillId="4" borderId="2" xfId="2" applyFont="1" applyBorder="1" applyAlignment="1">
      <alignment horizontal="center" vertical="center"/>
    </xf>
    <xf numFmtId="0" fontId="2" fillId="4" borderId="8" xfId="2" applyFont="1" applyBorder="1" applyAlignment="1">
      <alignment horizontal="center" vertical="center"/>
    </xf>
    <xf numFmtId="0" fontId="2" fillId="3" borderId="5" xfId="1" applyFont="1" applyBorder="1" applyAlignment="1">
      <alignment horizontal="center" vertical="center"/>
    </xf>
    <xf numFmtId="0" fontId="2" fillId="3" borderId="6" xfId="1" applyFont="1" applyBorder="1" applyAlignment="1">
      <alignment horizontal="center" vertical="center"/>
    </xf>
    <xf numFmtId="0" fontId="2" fillId="3" borderId="2" xfId="1" applyFont="1" applyBorder="1" applyAlignment="1">
      <alignment horizontal="center" vertical="center"/>
    </xf>
    <xf numFmtId="0" fontId="2" fillId="5" borderId="4" xfId="3" quotePrefix="1" applyFont="1" applyBorder="1" applyAlignment="1">
      <alignment horizontal="center" vertical="center"/>
    </xf>
  </cellXfs>
  <cellStyles count="4">
    <cellStyle name="40% - Accent1" xfId="1" builtinId="31"/>
    <cellStyle name="40% - Accent2" xfId="2" builtinId="35"/>
    <cellStyle name="40% - Accent4" xfId="3" builtinId="4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Comparativo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Sheet1!$B$21</c:f>
              <c:strCache>
                <c:ptCount val="1"/>
                <c:pt idx="0">
                  <c:v>Média 1 :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Sheet1!$A$22:$A$28</c:f>
              <c:numCache>
                <c:formatCode>General</c:formatCode>
                <c:ptCount val="7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1000</c:v>
                </c:pt>
              </c:numCache>
            </c:numRef>
          </c:cat>
          <c:val>
            <c:numRef>
              <c:f>Sheet1!$B$22:$B$28</c:f>
              <c:numCache>
                <c:formatCode>###,###,###.##\ " ms"</c:formatCode>
                <c:ptCount val="7"/>
                <c:pt idx="0">
                  <c:v>87.386666666666656</c:v>
                </c:pt>
                <c:pt idx="1">
                  <c:v>148.67333333333335</c:v>
                </c:pt>
                <c:pt idx="2">
                  <c:v>634.44333333333327</c:v>
                </c:pt>
                <c:pt idx="3">
                  <c:v>1224.9800000000002</c:v>
                </c:pt>
                <c:pt idx="4">
                  <c:v>3021.5633333333335</c:v>
                </c:pt>
                <c:pt idx="5">
                  <c:v>5996.8066666666664</c:v>
                </c:pt>
                <c:pt idx="6">
                  <c:v>12393.513333333334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9-D948-9F8D-E605AA7E470B}"/>
            </c:ext>
          </c:extLst>
        </c:ser>
        <c:ser>
          <c:idx val="1"/>
          <c:order val="1"/>
          <c:tx>
            <c:strRef>
              <c:f>Sheet1!$C$21</c:f>
              <c:strCache>
                <c:ptCount val="1"/>
                <c:pt idx="0">
                  <c:v>Média N : 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Sheet1!$A$22:$A$28</c:f>
              <c:numCache>
                <c:formatCode>General</c:formatCode>
                <c:ptCount val="7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1000</c:v>
                </c:pt>
              </c:numCache>
            </c:numRef>
          </c:cat>
          <c:val>
            <c:numRef>
              <c:f>Sheet1!$C$22:$C$28</c:f>
              <c:numCache>
                <c:formatCode>###,###,###.##\ " ms"</c:formatCode>
                <c:ptCount val="7"/>
                <c:pt idx="0">
                  <c:v>82.173333333333332</c:v>
                </c:pt>
                <c:pt idx="1">
                  <c:v>168.84666666666666</c:v>
                </c:pt>
                <c:pt idx="2">
                  <c:v>680.69999999999993</c:v>
                </c:pt>
                <c:pt idx="3">
                  <c:v>1292.3033333333333</c:v>
                </c:pt>
                <c:pt idx="4">
                  <c:v>3098.2533333333336</c:v>
                </c:pt>
                <c:pt idx="5">
                  <c:v>6081.5233333333335</c:v>
                </c:pt>
                <c:pt idx="6">
                  <c:v>12476.553333333335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19-D948-9F8D-E605AA7E4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0215232"/>
        <c:axId val="1670209856"/>
      </c:barChart>
      <c:catAx>
        <c:axId val="1670215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1670209856"/>
        <c:crosses val="autoZero"/>
        <c:auto val="1"/>
        <c:lblAlgn val="ctr"/>
        <c:lblOffset val="100"/>
        <c:noMultiLvlLbl val="0"/>
      </c:catAx>
      <c:valAx>
        <c:axId val="1670209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.##\ &quot; m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167021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10583</xdr:rowOff>
    </xdr:from>
    <xdr:to>
      <xdr:col>4</xdr:col>
      <xdr:colOff>0</xdr:colOff>
      <xdr:row>50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9952422-D308-1B57-44AE-615EFA2EEC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50"/>
  <sheetViews>
    <sheetView tabSelected="1" topLeftCell="A37" zoomScale="120" zoomScaleNormal="120" workbookViewId="0">
      <selection activeCell="A6" sqref="A6"/>
    </sheetView>
  </sheetViews>
  <sheetFormatPr baseColWidth="10" defaultColWidth="8.83203125" defaultRowHeight="19" zeroHeight="1" x14ac:dyDescent="0.25"/>
  <cols>
    <col min="1" max="2" width="40.83203125" style="4" customWidth="1"/>
    <col min="3" max="4" width="40.83203125" style="6" customWidth="1"/>
    <col min="5" max="16383" width="0" style="1" hidden="1" customWidth="1"/>
    <col min="16384" max="16384" width="0.1640625" style="1" hidden="1" customWidth="1"/>
  </cols>
  <sheetData>
    <row r="1" spans="1:4 16384:16384" s="4" customFormat="1" ht="38" customHeight="1" thickBot="1" x14ac:dyDescent="0.25">
      <c r="A1" s="20" t="s">
        <v>2</v>
      </c>
      <c r="B1" s="14" t="s">
        <v>0</v>
      </c>
      <c r="C1" s="14" t="s">
        <v>7</v>
      </c>
      <c r="D1" s="15" t="s">
        <v>1</v>
      </c>
    </row>
    <row r="2" spans="1:4 16384:16384" s="4" customFormat="1" ht="25" customHeight="1" x14ac:dyDescent="0.2">
      <c r="A2" s="17">
        <v>1</v>
      </c>
      <c r="B2" s="9">
        <v>86.82</v>
      </c>
      <c r="C2" s="9">
        <v>87.37</v>
      </c>
      <c r="D2" s="10">
        <v>87.97</v>
      </c>
    </row>
    <row r="3" spans="1:4 16384:16384" s="4" customFormat="1" ht="25" customHeight="1" x14ac:dyDescent="0.2">
      <c r="A3" s="18">
        <v>10</v>
      </c>
      <c r="B3" s="9">
        <v>148.24</v>
      </c>
      <c r="C3" s="9">
        <v>146.47999999999999</v>
      </c>
      <c r="D3" s="11">
        <v>151.30000000000001</v>
      </c>
    </row>
    <row r="4" spans="1:4 16384:16384" s="4" customFormat="1" ht="25" customHeight="1" x14ac:dyDescent="0.2">
      <c r="A4" s="18">
        <v>50</v>
      </c>
      <c r="B4" s="9">
        <v>631.1</v>
      </c>
      <c r="C4" s="9">
        <v>633.92999999999995</v>
      </c>
      <c r="D4" s="11">
        <v>638.29999999999995</v>
      </c>
    </row>
    <row r="5" spans="1:4 16384:16384" s="4" customFormat="1" ht="25" customHeight="1" x14ac:dyDescent="0.2">
      <c r="A5" s="18">
        <v>100</v>
      </c>
      <c r="B5" s="9">
        <v>1240.02</v>
      </c>
      <c r="C5" s="9">
        <v>1235.9100000000001</v>
      </c>
      <c r="D5" s="11">
        <v>1199.01</v>
      </c>
    </row>
    <row r="6" spans="1:4 16384:16384" s="4" customFormat="1" ht="25" customHeight="1" x14ac:dyDescent="0.2">
      <c r="A6" s="18">
        <v>250</v>
      </c>
      <c r="B6" s="9">
        <v>3009.74</v>
      </c>
      <c r="C6" s="9">
        <v>3055.05</v>
      </c>
      <c r="D6" s="11">
        <v>2999.9</v>
      </c>
    </row>
    <row r="7" spans="1:4 16384:16384" s="4" customFormat="1" ht="25" customHeight="1" x14ac:dyDescent="0.2">
      <c r="A7" s="18">
        <v>500</v>
      </c>
      <c r="B7" s="9">
        <v>5921.09</v>
      </c>
      <c r="C7" s="9">
        <v>5989.5</v>
      </c>
      <c r="D7" s="11">
        <v>6079.83</v>
      </c>
    </row>
    <row r="8" spans="1:4 16384:16384" s="4" customFormat="1" ht="25" customHeight="1" thickBot="1" x14ac:dyDescent="0.25">
      <c r="A8" s="19">
        <v>1000</v>
      </c>
      <c r="B8" s="8">
        <v>12014.94</v>
      </c>
      <c r="C8" s="8">
        <v>13374.67</v>
      </c>
      <c r="D8" s="12">
        <v>11790.93</v>
      </c>
      <c r="XFD8" s="7"/>
    </row>
    <row r="9" spans="1:4 16384:16384" s="2" customFormat="1" x14ac:dyDescent="0.2"/>
    <row r="10" spans="1:4 16384:16384" s="2" customFormat="1" ht="20" thickBot="1" x14ac:dyDescent="0.25">
      <c r="A10" s="3"/>
      <c r="B10" s="3"/>
      <c r="C10" s="3"/>
      <c r="D10" s="3"/>
    </row>
    <row r="11" spans="1:4 16384:16384" s="4" customFormat="1" ht="38" customHeight="1" thickBot="1" x14ac:dyDescent="0.25">
      <c r="A11" s="20" t="s">
        <v>3</v>
      </c>
      <c r="B11" s="14" t="s">
        <v>0</v>
      </c>
      <c r="C11" s="14" t="s">
        <v>7</v>
      </c>
      <c r="D11" s="15" t="s">
        <v>1</v>
      </c>
    </row>
    <row r="12" spans="1:4 16384:16384" s="4" customFormat="1" ht="25" customHeight="1" x14ac:dyDescent="0.2">
      <c r="A12" s="17">
        <v>1</v>
      </c>
      <c r="B12" s="9">
        <v>80.459999999999994</v>
      </c>
      <c r="C12" s="9">
        <v>86.05</v>
      </c>
      <c r="D12" s="10">
        <v>80.010000000000005</v>
      </c>
    </row>
    <row r="13" spans="1:4 16384:16384" s="4" customFormat="1" ht="25" customHeight="1" x14ac:dyDescent="0.2">
      <c r="A13" s="18">
        <v>10</v>
      </c>
      <c r="B13" s="9">
        <v>153.54</v>
      </c>
      <c r="C13" s="9">
        <v>174.15</v>
      </c>
      <c r="D13" s="11">
        <v>178.85</v>
      </c>
    </row>
    <row r="14" spans="1:4 16384:16384" s="4" customFormat="1" ht="25" customHeight="1" x14ac:dyDescent="0.2">
      <c r="A14" s="18">
        <v>50</v>
      </c>
      <c r="B14" s="9">
        <v>684.88</v>
      </c>
      <c r="C14" s="9">
        <v>684.79</v>
      </c>
      <c r="D14" s="11">
        <v>672.43</v>
      </c>
    </row>
    <row r="15" spans="1:4 16384:16384" s="4" customFormat="1" ht="25" customHeight="1" x14ac:dyDescent="0.2">
      <c r="A15" s="18">
        <v>100</v>
      </c>
      <c r="B15" s="9">
        <v>1270.1500000000001</v>
      </c>
      <c r="C15" s="9">
        <v>1289.73</v>
      </c>
      <c r="D15" s="11">
        <v>1317.03</v>
      </c>
    </row>
    <row r="16" spans="1:4 16384:16384" s="4" customFormat="1" ht="25" customHeight="1" x14ac:dyDescent="0.2">
      <c r="A16" s="18">
        <v>250</v>
      </c>
      <c r="B16" s="9">
        <v>3082.69</v>
      </c>
      <c r="C16" s="9">
        <v>3102.43</v>
      </c>
      <c r="D16" s="11">
        <v>3109.64</v>
      </c>
    </row>
    <row r="17" spans="1:4" s="4" customFormat="1" ht="25" customHeight="1" x14ac:dyDescent="0.2">
      <c r="A17" s="18">
        <v>500</v>
      </c>
      <c r="B17" s="9">
        <v>6081.52</v>
      </c>
      <c r="C17" s="9">
        <v>6079.84</v>
      </c>
      <c r="D17" s="11">
        <v>6083.21</v>
      </c>
    </row>
    <row r="18" spans="1:4" s="4" customFormat="1" ht="25" customHeight="1" thickBot="1" x14ac:dyDescent="0.25">
      <c r="A18" s="19">
        <v>1000</v>
      </c>
      <c r="B18" s="8">
        <v>12502.01</v>
      </c>
      <c r="C18" s="8">
        <v>12397.95</v>
      </c>
      <c r="D18" s="12">
        <v>12529.7</v>
      </c>
    </row>
    <row r="19" spans="1:4" s="2" customFormat="1" x14ac:dyDescent="0.2"/>
    <row r="20" spans="1:4" s="2" customFormat="1" ht="20" thickBot="1" x14ac:dyDescent="0.25">
      <c r="A20" s="3"/>
      <c r="B20" s="3"/>
      <c r="C20" s="3"/>
      <c r="D20" s="3"/>
    </row>
    <row r="21" spans="1:4" s="4" customFormat="1" ht="38" customHeight="1" thickBot="1" x14ac:dyDescent="0.25">
      <c r="A21" s="20"/>
      <c r="B21" s="14" t="s">
        <v>4</v>
      </c>
      <c r="C21" s="14" t="s">
        <v>5</v>
      </c>
      <c r="D21" s="16" t="s">
        <v>6</v>
      </c>
    </row>
    <row r="22" spans="1:4" s="4" customFormat="1" ht="25" customHeight="1" x14ac:dyDescent="0.2">
      <c r="A22" s="17">
        <v>1</v>
      </c>
      <c r="B22" s="9">
        <f>SUM(B2:D2)/3</f>
        <v>87.386666666666656</v>
      </c>
      <c r="C22" s="9">
        <f>SUM(B12:D12)/3</f>
        <v>82.173333333333332</v>
      </c>
      <c r="D22" s="10">
        <f t="shared" ref="D22:D28" si="0">SUM(B22-C22)</f>
        <v>5.213333333333324</v>
      </c>
    </row>
    <row r="23" spans="1:4" s="4" customFormat="1" ht="25" customHeight="1" x14ac:dyDescent="0.2">
      <c r="A23" s="18">
        <v>10</v>
      </c>
      <c r="B23" s="9">
        <f t="shared" ref="B23:B27" si="1">SUM(B3:D3)/3</f>
        <v>148.67333333333335</v>
      </c>
      <c r="C23" s="9">
        <f t="shared" ref="C23:C27" si="2">SUM(B13:D13)/3</f>
        <v>168.84666666666666</v>
      </c>
      <c r="D23" s="11">
        <f t="shared" si="0"/>
        <v>-20.173333333333318</v>
      </c>
    </row>
    <row r="24" spans="1:4" s="4" customFormat="1" ht="25" customHeight="1" x14ac:dyDescent="0.2">
      <c r="A24" s="18">
        <v>50</v>
      </c>
      <c r="B24" s="9">
        <f t="shared" si="1"/>
        <v>634.44333333333327</v>
      </c>
      <c r="C24" s="9">
        <f t="shared" si="2"/>
        <v>680.69999999999993</v>
      </c>
      <c r="D24" s="11">
        <f t="shared" si="0"/>
        <v>-46.256666666666661</v>
      </c>
    </row>
    <row r="25" spans="1:4" s="4" customFormat="1" ht="25" customHeight="1" x14ac:dyDescent="0.2">
      <c r="A25" s="18">
        <v>100</v>
      </c>
      <c r="B25" s="9">
        <f t="shared" si="1"/>
        <v>1224.9800000000002</v>
      </c>
      <c r="C25" s="9">
        <f t="shared" si="2"/>
        <v>1292.3033333333333</v>
      </c>
      <c r="D25" s="11">
        <f t="shared" si="0"/>
        <v>-67.323333333333039</v>
      </c>
    </row>
    <row r="26" spans="1:4" s="4" customFormat="1" ht="25" customHeight="1" x14ac:dyDescent="0.2">
      <c r="A26" s="18">
        <v>250</v>
      </c>
      <c r="B26" s="9">
        <f t="shared" si="1"/>
        <v>3021.5633333333335</v>
      </c>
      <c r="C26" s="9">
        <f t="shared" si="2"/>
        <v>3098.2533333333336</v>
      </c>
      <c r="D26" s="11">
        <f t="shared" si="0"/>
        <v>-76.690000000000055</v>
      </c>
    </row>
    <row r="27" spans="1:4" s="4" customFormat="1" ht="25" customHeight="1" x14ac:dyDescent="0.2">
      <c r="A27" s="18">
        <v>500</v>
      </c>
      <c r="B27" s="9">
        <f t="shared" si="1"/>
        <v>5996.8066666666664</v>
      </c>
      <c r="C27" s="9">
        <f t="shared" si="2"/>
        <v>6081.5233333333335</v>
      </c>
      <c r="D27" s="11">
        <f t="shared" si="0"/>
        <v>-84.716666666667152</v>
      </c>
    </row>
    <row r="28" spans="1:4" s="4" customFormat="1" ht="25" customHeight="1" thickBot="1" x14ac:dyDescent="0.25">
      <c r="A28" s="19">
        <v>1000</v>
      </c>
      <c r="B28" s="13">
        <f>SUM(B8:D8)/3</f>
        <v>12393.513333333334</v>
      </c>
      <c r="C28" s="8">
        <f>SUM(B18:D18)/3</f>
        <v>12476.553333333335</v>
      </c>
      <c r="D28" s="12">
        <f t="shared" si="0"/>
        <v>-83.040000000000873</v>
      </c>
    </row>
    <row r="29" spans="1:4" x14ac:dyDescent="0.25">
      <c r="A29" s="2"/>
      <c r="B29" s="2"/>
      <c r="C29" s="5"/>
      <c r="D29" s="5"/>
    </row>
    <row r="30" spans="1:4" x14ac:dyDescent="0.25">
      <c r="A30" s="2"/>
      <c r="B30" s="2"/>
      <c r="C30" s="5"/>
      <c r="D30" s="5"/>
    </row>
    <row r="31" spans="1:4" x14ac:dyDescent="0.25"/>
    <row r="32" spans="1:4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Guilherme Selig</cp:lastModifiedBy>
  <dcterms:created xsi:type="dcterms:W3CDTF">2025-11-04T00:31:33Z</dcterms:created>
  <dcterms:modified xsi:type="dcterms:W3CDTF">2025-11-04T19:54:51Z</dcterms:modified>
</cp:coreProperties>
</file>